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thiggin2_utk_edu/Documents/_UTK Stats/_STAT 201/2026-01/TA/"/>
    </mc:Choice>
  </mc:AlternateContent>
  <xr:revisionPtr revIDLastSave="0" documentId="8_{6DDF487D-29AB-4074-AB50-CD733C47C56D}" xr6:coauthVersionLast="47" xr6:coauthVersionMax="47" xr10:uidLastSave="{00000000-0000-0000-0000-000000000000}"/>
  <bookViews>
    <workbookView xWindow="0" yWindow="0" windowWidth="20520" windowHeight="9156" xr2:uid="{00000000-000D-0000-FFFF-FFFF00000000}"/>
  </bookViews>
  <sheets>
    <sheet name="Data Entry" sheetId="1" r:id="rId1"/>
  </sheets>
  <definedNames>
    <definedName name="_xlnm.Print_Area" localSheetId="0">'Data Entry'!$A$1:$E$91</definedName>
    <definedName name="_xlnm.Print_Titles" localSheetId="0">'Data Entry'!$1:$1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9eDNAepOHYXQFut0rRKfCUYkDWg=="/>
    </ext>
  </extLst>
</workbook>
</file>

<file path=xl/calcChain.xml><?xml version="1.0" encoding="utf-8"?>
<calcChain xmlns="http://schemas.openxmlformats.org/spreadsheetml/2006/main">
  <c r="O8" i="1" l="1"/>
  <c r="O9" i="1"/>
  <c r="R9" i="1"/>
  <c r="R8" i="1"/>
  <c r="N8" i="1"/>
  <c r="N9" i="1"/>
  <c r="Q9" i="1"/>
  <c r="P9" i="1"/>
  <c r="S9" i="1"/>
  <c r="P8" i="1"/>
  <c r="S8" i="1"/>
  <c r="Q8" i="1"/>
  <c r="B3" i="1"/>
</calcChain>
</file>

<file path=xl/sharedStrings.xml><?xml version="1.0" encoding="utf-8"?>
<sst xmlns="http://schemas.openxmlformats.org/spreadsheetml/2006/main" count="11" uniqueCount="10">
  <si>
    <t>Time spent TAing for STAT201 Spring 2026</t>
  </si>
  <si>
    <t>System Control</t>
  </si>
  <si>
    <t>Date Worked</t>
  </si>
  <si>
    <t>Hours</t>
  </si>
  <si>
    <t>Task Worked On</t>
  </si>
  <si>
    <t>Weeks</t>
  </si>
  <si>
    <t>Calculation Area</t>
  </si>
  <si>
    <t>Semester Dates</t>
  </si>
  <si>
    <t>First week of Semester</t>
  </si>
  <si>
    <t>End of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</si>
</sst>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6"/>
      <color theme="1"/>
      <name val="Calibri"/>
    </font>
    <font>
      <sz val="11"/>
      <color rgb="FFFF0000"/>
      <name val="Calibri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14" fontId="1" fillId="4" borderId="5" xfId="0" applyNumberFormat="1" applyFont="1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wrapText="1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" fillId="0" borderId="11" xfId="0" applyFont="1" applyBorder="1"/>
    <xf numFmtId="14" fontId="1" fillId="0" borderId="12" xfId="0" applyNumberFormat="1" applyFont="1" applyBorder="1"/>
    <xf numFmtId="0" fontId="1" fillId="0" borderId="12" xfId="0" applyFont="1" applyBorder="1"/>
    <xf numFmtId="0" fontId="1" fillId="0" borderId="13" xfId="0" applyFont="1" applyBorder="1"/>
    <xf numFmtId="14" fontId="1" fillId="4" borderId="14" xfId="0" applyNumberFormat="1" applyFont="1" applyFill="1" applyBorder="1"/>
    <xf numFmtId="0" fontId="1" fillId="4" borderId="16" xfId="0" applyFont="1" applyFill="1" applyBorder="1" applyAlignment="1">
      <alignment wrapText="1"/>
    </xf>
    <xf numFmtId="0" fontId="1" fillId="4" borderId="15" xfId="0" applyFont="1" applyFill="1" applyBorder="1" applyAlignment="1">
      <alignment horizontal="center"/>
    </xf>
    <xf numFmtId="0" fontId="0" fillId="0" borderId="9" xfId="0" applyBorder="1"/>
    <xf numFmtId="0" fontId="4" fillId="0" borderId="9" xfId="0" applyFont="1" applyBorder="1"/>
    <xf numFmtId="0" fontId="1" fillId="0" borderId="9" xfId="0" applyFont="1" applyBorder="1"/>
    <xf numFmtId="14" fontId="1" fillId="0" borderId="9" xfId="0" applyNumberFormat="1" applyFont="1" applyBorder="1"/>
    <xf numFmtId="0" fontId="1" fillId="0" borderId="9" xfId="0" applyFont="1" applyBorder="1" applyAlignment="1">
      <alignment horizontal="left"/>
    </xf>
    <xf numFmtId="0" fontId="3" fillId="0" borderId="9" xfId="0" applyFont="1" applyBorder="1"/>
    <xf numFmtId="14" fontId="1" fillId="4" borderId="17" xfId="0" applyNumberFormat="1" applyFont="1" applyFill="1" applyBorder="1"/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14" fontId="1" fillId="0" borderId="8" xfId="0" applyNumberFormat="1" applyFont="1" applyBorder="1"/>
    <xf numFmtId="0" fontId="1" fillId="0" borderId="10" xfId="0" applyFont="1" applyBorder="1"/>
    <xf numFmtId="0" fontId="1" fillId="0" borderId="8" xfId="0" applyFont="1" applyBorder="1"/>
    <xf numFmtId="2" fontId="5" fillId="0" borderId="10" xfId="0" applyNumberFormat="1" applyFont="1" applyBorder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2"/>
  <sheetViews>
    <sheetView tabSelected="1" workbookViewId="0">
      <selection activeCell="D5" sqref="D5"/>
    </sheetView>
  </sheetViews>
  <sheetFormatPr defaultColWidth="14.42578125" defaultRowHeight="15" customHeight="1"/>
  <cols>
    <col min="1" max="1" width="5.7109375" customWidth="1"/>
    <col min="2" max="2" width="14.140625" customWidth="1"/>
    <col min="3" max="3" width="11.7109375" customWidth="1"/>
    <col min="4" max="4" width="47.7109375" customWidth="1"/>
    <col min="5" max="5" width="6.42578125" customWidth="1"/>
    <col min="6" max="6" width="14.140625" customWidth="1"/>
    <col min="7" max="7" width="15.42578125" customWidth="1"/>
    <col min="8" max="8" width="14.7109375" customWidth="1"/>
    <col min="9" max="9" width="15.42578125" customWidth="1"/>
    <col min="10" max="10" width="8.85546875" customWidth="1"/>
    <col min="11" max="11" width="44.28515625" customWidth="1"/>
    <col min="12" max="12" width="20.42578125" customWidth="1"/>
    <col min="13" max="13" width="59.42578125" customWidth="1"/>
    <col min="14" max="14" width="19.28515625" customWidth="1"/>
    <col min="15" max="15" width="18.85546875" customWidth="1"/>
    <col min="16" max="16" width="14.7109375" customWidth="1"/>
    <col min="17" max="17" width="11.28515625" customWidth="1"/>
    <col min="18" max="21" width="8.85546875" customWidth="1"/>
    <col min="22" max="22" width="20" customWidth="1"/>
    <col min="23" max="23" width="11.28515625" customWidth="1"/>
    <col min="24" max="26" width="8.85546875" customWidth="1"/>
  </cols>
  <sheetData>
    <row r="1" spans="1:26" ht="18.600000000000001" customHeight="1">
      <c r="A1" s="1"/>
      <c r="B1" s="36" t="s">
        <v>0</v>
      </c>
      <c r="C1" s="36"/>
      <c r="D1" s="36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2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37" t="str">
        <f>"You have worked "&amp;Q8&amp;" hours this semester and have "&amp;Q9&amp;" hours left to work."</f>
        <v>You have worked 0 hours this semester and have 150 hours left to work.</v>
      </c>
      <c r="C3" s="37"/>
      <c r="D3" s="37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thickBot="1">
      <c r="A4" s="1"/>
      <c r="B4" s="1"/>
      <c r="C4" s="2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2"/>
      <c r="D5" s="3"/>
      <c r="E5" s="3"/>
      <c r="F5" s="1"/>
      <c r="G5" s="1"/>
      <c r="H5" s="1"/>
      <c r="I5" s="1"/>
      <c r="J5" s="1"/>
      <c r="K5" s="1"/>
      <c r="L5" s="1"/>
      <c r="M5" s="1"/>
      <c r="N5" s="39" t="s">
        <v>1</v>
      </c>
      <c r="O5" s="40"/>
      <c r="P5" s="40"/>
      <c r="Q5" s="40"/>
      <c r="R5" s="40"/>
      <c r="S5" s="41"/>
      <c r="T5" s="1"/>
      <c r="U5" s="1"/>
      <c r="V5" s="1"/>
      <c r="W5" s="1"/>
      <c r="X5" s="1"/>
      <c r="Y5" s="1"/>
      <c r="Z5" s="1"/>
    </row>
    <row r="6" spans="1:26" ht="17.25" customHeight="1" thickBot="1">
      <c r="A6" s="1"/>
      <c r="B6" s="4" t="s">
        <v>2</v>
      </c>
      <c r="C6" s="4" t="s">
        <v>3</v>
      </c>
      <c r="D6" s="5" t="s">
        <v>4</v>
      </c>
      <c r="E6" s="6"/>
      <c r="F6" s="1"/>
      <c r="G6" s="1"/>
      <c r="H6" s="1"/>
      <c r="I6" s="1"/>
      <c r="J6" s="1"/>
      <c r="K6" s="1"/>
      <c r="L6" s="1"/>
      <c r="M6" s="1"/>
      <c r="N6" s="42" t="s">
        <v>3</v>
      </c>
      <c r="O6" s="1" t="s">
        <v>5</v>
      </c>
      <c r="P6" s="1"/>
      <c r="Q6" s="1"/>
      <c r="R6" s="1"/>
      <c r="S6" s="43"/>
      <c r="T6" s="1"/>
      <c r="U6" s="1"/>
      <c r="V6" s="1"/>
      <c r="W6" s="1"/>
      <c r="X6" s="1"/>
      <c r="Y6" s="1"/>
      <c r="Z6" s="1"/>
    </row>
    <row r="7" spans="1:26" ht="21" customHeight="1" thickBot="1">
      <c r="A7" s="1"/>
      <c r="B7" s="22"/>
      <c r="C7" s="24"/>
      <c r="D7" s="23"/>
      <c r="E7" s="1"/>
      <c r="F7" s="25"/>
      <c r="G7" s="25"/>
      <c r="H7" s="25"/>
      <c r="I7" s="25"/>
      <c r="J7" s="25"/>
      <c r="K7" s="25"/>
      <c r="L7" s="26"/>
      <c r="M7" s="1"/>
      <c r="N7" s="38" t="s">
        <v>6</v>
      </c>
      <c r="O7" s="40"/>
      <c r="P7" s="40"/>
      <c r="Q7" s="40"/>
      <c r="R7" s="40"/>
      <c r="S7" s="41"/>
      <c r="T7" s="1"/>
      <c r="U7" s="1"/>
      <c r="V7" s="1"/>
      <c r="W7" s="1"/>
      <c r="X7" s="1"/>
      <c r="Y7" s="1"/>
      <c r="Z7" s="1"/>
    </row>
    <row r="8" spans="1:26" ht="21" customHeight="1">
      <c r="A8" s="1"/>
      <c r="B8" s="12"/>
      <c r="C8" s="13"/>
      <c r="D8" s="14"/>
      <c r="E8" s="1"/>
      <c r="F8" s="26"/>
      <c r="G8" s="30"/>
      <c r="H8" s="30"/>
      <c r="I8" s="30"/>
      <c r="J8" s="30"/>
      <c r="K8" s="30"/>
      <c r="L8" s="26"/>
      <c r="M8" s="1"/>
      <c r="N8" s="44">
        <f>SUM(C7:C49)</f>
        <v>0</v>
      </c>
      <c r="O8" s="7">
        <f ca="1">(TODAY()-(O21))/7</f>
        <v>0</v>
      </c>
      <c r="P8" s="7" t="e">
        <f t="shared" ref="P8:P9" ca="1" si="0">N8/O8</f>
        <v>#DIV/0!</v>
      </c>
      <c r="Q8" s="8">
        <f t="shared" ref="Q8:S8" si="1">ROUND(N8,3)</f>
        <v>0</v>
      </c>
      <c r="R8" s="9">
        <f t="shared" ca="1" si="1"/>
        <v>0</v>
      </c>
      <c r="S8" s="45" t="e">
        <f t="shared" ca="1" si="1"/>
        <v>#DIV/0!</v>
      </c>
      <c r="T8" s="1"/>
      <c r="U8" s="1"/>
      <c r="V8" s="1"/>
      <c r="W8" s="1"/>
      <c r="X8" s="1"/>
      <c r="Y8" s="1"/>
      <c r="Z8" s="1"/>
    </row>
    <row r="9" spans="1:26" ht="21" customHeight="1">
      <c r="A9" s="1"/>
      <c r="B9" s="12"/>
      <c r="C9" s="13"/>
      <c r="D9" s="14"/>
      <c r="E9" s="1"/>
      <c r="F9" s="26"/>
      <c r="G9" s="30"/>
      <c r="H9" s="30"/>
      <c r="I9" s="30"/>
      <c r="J9" s="30"/>
      <c r="K9" s="30"/>
      <c r="L9" s="26"/>
      <c r="M9" s="1"/>
      <c r="N9" s="44">
        <f>150-N8</f>
        <v>150</v>
      </c>
      <c r="O9" s="1">
        <f ca="1">(P21-TODAY())/7</f>
        <v>17.857142857142858</v>
      </c>
      <c r="P9" s="1">
        <f t="shared" ca="1" si="0"/>
        <v>8.4</v>
      </c>
      <c r="Q9" s="8">
        <f t="shared" ref="Q9:S9" si="2">ROUND(N9,3)</f>
        <v>150</v>
      </c>
      <c r="R9" s="8">
        <f t="shared" ca="1" si="2"/>
        <v>17.856999999999999</v>
      </c>
      <c r="S9" s="46">
        <f t="shared" ca="1" si="2"/>
        <v>8.4</v>
      </c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2"/>
      <c r="C10" s="13"/>
      <c r="D10" s="14"/>
      <c r="E10" s="1"/>
      <c r="F10" s="27"/>
      <c r="G10" s="26"/>
      <c r="H10" s="30"/>
      <c r="I10" s="30"/>
      <c r="J10" s="30"/>
      <c r="K10" s="30"/>
      <c r="L10" s="30"/>
      <c r="M10" s="1"/>
      <c r="N10" s="44"/>
      <c r="O10" s="1"/>
      <c r="P10" s="1"/>
      <c r="Q10" s="1"/>
      <c r="R10" s="1"/>
      <c r="S10" s="43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2"/>
      <c r="C11" s="13"/>
      <c r="D11" s="14"/>
      <c r="E11" s="1"/>
      <c r="F11" s="28"/>
      <c r="G11" s="27"/>
      <c r="H11" s="27"/>
      <c r="I11" s="27"/>
      <c r="J11" s="27"/>
      <c r="K11" s="29"/>
      <c r="L11" s="27"/>
      <c r="M11" s="1"/>
      <c r="N11" s="44"/>
      <c r="O11" s="1"/>
      <c r="P11" s="1"/>
      <c r="Q11" s="1"/>
      <c r="R11" s="1"/>
      <c r="S11" s="43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2"/>
      <c r="C12" s="13"/>
      <c r="D12" s="14"/>
      <c r="E12" s="1"/>
      <c r="F12" s="27"/>
      <c r="G12" s="27"/>
      <c r="H12" s="27"/>
      <c r="I12" s="27"/>
      <c r="J12" s="27"/>
      <c r="K12" s="29"/>
      <c r="L12" s="27"/>
      <c r="M12" s="1"/>
      <c r="N12" s="44"/>
      <c r="O12" s="1"/>
      <c r="P12" s="1"/>
      <c r="Q12" s="1"/>
      <c r="R12" s="1"/>
      <c r="S12" s="43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2"/>
      <c r="C13" s="13"/>
      <c r="D13" s="14"/>
      <c r="E13" s="1"/>
      <c r="F13" s="27"/>
      <c r="G13" s="28"/>
      <c r="H13" s="27"/>
      <c r="I13" s="27"/>
      <c r="J13" s="27"/>
      <c r="K13" s="29"/>
      <c r="L13" s="27"/>
      <c r="M13" s="1"/>
      <c r="N13" s="44"/>
      <c r="O13" s="1"/>
      <c r="P13" s="1"/>
      <c r="Q13" s="1"/>
      <c r="R13" s="1"/>
      <c r="S13" s="43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2"/>
      <c r="C14" s="13"/>
      <c r="D14" s="14"/>
      <c r="E14" s="1"/>
      <c r="F14" s="27"/>
      <c r="G14" s="28"/>
      <c r="H14" s="27"/>
      <c r="I14" s="27"/>
      <c r="J14" s="27"/>
      <c r="K14" s="29"/>
      <c r="L14" s="27"/>
      <c r="M14" s="1"/>
      <c r="N14" s="44"/>
      <c r="O14" s="1"/>
      <c r="P14" s="1"/>
      <c r="Q14" s="1"/>
      <c r="R14" s="1"/>
      <c r="S14" s="43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2"/>
      <c r="C15" s="13"/>
      <c r="D15" s="14"/>
      <c r="E15" s="1"/>
      <c r="F15" s="1"/>
      <c r="G15" s="11"/>
      <c r="H15" s="1"/>
      <c r="I15" s="1"/>
      <c r="J15" s="1"/>
      <c r="K15" s="10"/>
      <c r="L15" s="1"/>
      <c r="M15" s="1"/>
      <c r="N15" s="44"/>
      <c r="O15" s="10"/>
      <c r="P15" s="1"/>
      <c r="Q15" s="1"/>
      <c r="R15" s="1"/>
      <c r="S15" s="43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2"/>
      <c r="C16" s="13"/>
      <c r="D16" s="14"/>
      <c r="E16" s="1"/>
      <c r="F16" s="1"/>
      <c r="G16" s="11"/>
      <c r="H16" s="1"/>
      <c r="I16" s="1"/>
      <c r="J16" s="1"/>
      <c r="K16" s="1"/>
      <c r="L16" s="1"/>
      <c r="M16" s="1"/>
      <c r="N16" s="44"/>
      <c r="O16" s="1"/>
      <c r="P16" s="1"/>
      <c r="Q16" s="1"/>
      <c r="R16" s="1"/>
      <c r="S16" s="43"/>
      <c r="T16" s="1"/>
      <c r="U16" s="1"/>
      <c r="V16" s="1"/>
      <c r="W16" s="1"/>
      <c r="X16" s="1"/>
      <c r="Y16" s="1"/>
      <c r="Z16" s="1"/>
    </row>
    <row r="17" spans="1:26" ht="14.25" customHeight="1" thickBot="1">
      <c r="A17" s="1"/>
      <c r="B17" s="12"/>
      <c r="C17" s="13"/>
      <c r="D17" s="14"/>
      <c r="E17" s="3"/>
      <c r="F17" s="1"/>
      <c r="G17" s="11"/>
      <c r="H17" s="1"/>
      <c r="I17" s="1"/>
      <c r="J17" s="1"/>
      <c r="K17" s="1"/>
      <c r="L17" s="1"/>
      <c r="M17" s="1"/>
      <c r="N17" s="44"/>
      <c r="O17" s="1"/>
      <c r="P17" s="1"/>
      <c r="Q17" s="1"/>
      <c r="R17" s="1"/>
      <c r="S17" s="43"/>
      <c r="T17" s="1"/>
      <c r="U17" s="1"/>
      <c r="V17" s="10"/>
      <c r="W17" s="1"/>
      <c r="X17" s="1"/>
      <c r="Y17" s="1"/>
      <c r="Z17" s="1"/>
    </row>
    <row r="18" spans="1:26" ht="14.25" customHeight="1" thickBot="1">
      <c r="A18" s="1"/>
      <c r="B18" s="12"/>
      <c r="C18" s="13"/>
      <c r="D18" s="14"/>
      <c r="E18" s="3"/>
      <c r="F18" s="1"/>
      <c r="G18" s="11"/>
      <c r="H18" s="1"/>
      <c r="I18" s="1"/>
      <c r="J18" s="1"/>
      <c r="K18" s="1"/>
      <c r="L18" s="1"/>
      <c r="M18" s="1"/>
      <c r="N18" s="38" t="s">
        <v>7</v>
      </c>
      <c r="O18" s="40"/>
      <c r="P18" s="40"/>
      <c r="Q18" s="40"/>
      <c r="R18" s="40"/>
      <c r="S18" s="41"/>
      <c r="T18" s="1"/>
      <c r="U18" s="1"/>
      <c r="V18" s="10"/>
      <c r="W18" s="1"/>
      <c r="X18" s="1"/>
      <c r="Y18" s="1"/>
      <c r="Z18" s="1"/>
    </row>
    <row r="19" spans="1:26" ht="14.25" customHeight="1">
      <c r="A19" s="1"/>
      <c r="B19" s="12"/>
      <c r="C19" s="13"/>
      <c r="D19" s="14"/>
      <c r="E19" s="3"/>
      <c r="F19" s="1"/>
      <c r="G19" s="11"/>
      <c r="H19" s="1"/>
      <c r="I19" s="1"/>
      <c r="J19" s="1"/>
      <c r="K19" s="1"/>
      <c r="L19" s="1"/>
      <c r="M19" s="1"/>
      <c r="N19" s="15"/>
      <c r="O19" s="16"/>
      <c r="P19" s="16"/>
      <c r="Q19" s="16"/>
      <c r="R19" s="16"/>
      <c r="S19" s="17"/>
      <c r="T19" s="1"/>
      <c r="U19" s="1"/>
      <c r="V19" s="10"/>
      <c r="W19" s="1"/>
      <c r="X19" s="1"/>
      <c r="Y19" s="1"/>
      <c r="Z19" s="1"/>
    </row>
    <row r="20" spans="1:26" ht="14.25" customHeight="1">
      <c r="A20" s="1"/>
      <c r="B20" s="12"/>
      <c r="C20" s="13"/>
      <c r="D20" s="14"/>
      <c r="E20" s="3"/>
      <c r="F20" s="1"/>
      <c r="G20" s="11"/>
      <c r="H20" s="1"/>
      <c r="I20" s="1"/>
      <c r="J20" s="1"/>
      <c r="K20" s="1"/>
      <c r="L20" s="1"/>
      <c r="M20" s="1"/>
      <c r="N20" s="44"/>
      <c r="O20" s="1" t="s">
        <v>8</v>
      </c>
      <c r="P20" s="1" t="s">
        <v>9</v>
      </c>
      <c r="Q20" s="1"/>
      <c r="R20" s="1"/>
      <c r="S20" s="43"/>
      <c r="T20" s="1"/>
      <c r="U20" s="1"/>
      <c r="V20" s="10"/>
      <c r="W20" s="1"/>
      <c r="X20" s="1"/>
      <c r="Y20" s="1"/>
      <c r="Z20" s="1"/>
    </row>
    <row r="21" spans="1:26" ht="14.25" customHeight="1" thickBot="1">
      <c r="A21" s="1"/>
      <c r="B21" s="12"/>
      <c r="C21" s="13"/>
      <c r="D21" s="14"/>
      <c r="E21" s="3"/>
      <c r="F21" s="1"/>
      <c r="G21" s="11"/>
      <c r="H21" s="1"/>
      <c r="I21" s="1"/>
      <c r="J21" s="1"/>
      <c r="K21" s="1"/>
      <c r="L21" s="1"/>
      <c r="M21" s="1"/>
      <c r="N21" s="18"/>
      <c r="O21" s="19">
        <v>46042</v>
      </c>
      <c r="P21" s="19">
        <v>46167</v>
      </c>
      <c r="Q21" s="20"/>
      <c r="R21" s="20"/>
      <c r="S21" s="21"/>
      <c r="T21" s="1"/>
      <c r="U21" s="1"/>
      <c r="V21" s="10"/>
      <c r="W21" s="1"/>
      <c r="X21" s="1"/>
      <c r="Y21" s="1"/>
      <c r="Z21" s="1"/>
    </row>
    <row r="22" spans="1:26" ht="14.25" customHeight="1">
      <c r="A22" s="1"/>
      <c r="B22" s="12"/>
      <c r="C22" s="13"/>
      <c r="D22" s="14"/>
      <c r="E22" s="3"/>
      <c r="F22" s="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"/>
      <c r="X22" s="1"/>
      <c r="Y22" s="1"/>
      <c r="Z22" s="1"/>
    </row>
    <row r="23" spans="1:26" ht="14.25" customHeight="1">
      <c r="A23" s="1"/>
      <c r="B23" s="12"/>
      <c r="C23" s="13"/>
      <c r="D23" s="14"/>
      <c r="E23" s="3"/>
      <c r="F23" s="1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"/>
      <c r="X23" s="1"/>
      <c r="Y23" s="1"/>
      <c r="Z23" s="1"/>
    </row>
    <row r="24" spans="1:26" ht="14.25" customHeight="1">
      <c r="A24" s="1"/>
      <c r="B24" s="12"/>
      <c r="C24" s="13"/>
      <c r="D24" s="14"/>
      <c r="E24" s="3"/>
      <c r="F24" s="1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0"/>
      <c r="W24" s="1"/>
      <c r="X24" s="1"/>
      <c r="Y24" s="1"/>
      <c r="Z24" s="1"/>
    </row>
    <row r="25" spans="1:26" ht="14.25" customHeight="1">
      <c r="A25" s="1"/>
      <c r="B25" s="12"/>
      <c r="C25" s="13"/>
      <c r="D25" s="14"/>
      <c r="E25" s="3"/>
      <c r="F25" s="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0"/>
      <c r="W25" s="1"/>
      <c r="X25" s="1"/>
      <c r="Y25" s="1"/>
      <c r="Z25" s="1"/>
    </row>
    <row r="26" spans="1:26" ht="14.25" customHeight="1">
      <c r="A26" s="1"/>
      <c r="B26" s="12"/>
      <c r="C26" s="13"/>
      <c r="D26" s="14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2"/>
      <c r="C27" s="13"/>
      <c r="D27" s="14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2"/>
      <c r="C28" s="13"/>
      <c r="D28" s="14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2"/>
      <c r="C29" s="13"/>
      <c r="D29" s="14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2"/>
      <c r="C30" s="13"/>
      <c r="D30" s="14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2"/>
      <c r="C31" s="13"/>
      <c r="D31" s="14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2"/>
      <c r="C32" s="13"/>
      <c r="D32" s="14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2"/>
      <c r="C33" s="13"/>
      <c r="D33" s="14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2"/>
      <c r="C34" s="13"/>
      <c r="D34" s="14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2"/>
      <c r="C35" s="13"/>
      <c r="D35" s="14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2"/>
      <c r="C36" s="13"/>
      <c r="D36" s="14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2"/>
      <c r="C37" s="13"/>
      <c r="D37" s="14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2"/>
      <c r="C38" s="13"/>
      <c r="D38" s="14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2"/>
      <c r="C39" s="13"/>
      <c r="D39" s="14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2"/>
      <c r="C40" s="13"/>
      <c r="D40" s="14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2"/>
      <c r="C41" s="13"/>
      <c r="D41" s="14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2"/>
      <c r="C42" s="13"/>
      <c r="D42" s="14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2"/>
      <c r="C43" s="13"/>
      <c r="D43" s="14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2"/>
      <c r="C44" s="13"/>
      <c r="D44" s="14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2"/>
      <c r="C45" s="13"/>
      <c r="D45" s="14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2"/>
      <c r="C46" s="13"/>
      <c r="D46" s="14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2"/>
      <c r="C47" s="13"/>
      <c r="D47" s="14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2"/>
      <c r="C48" s="13"/>
      <c r="D48" s="14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2"/>
      <c r="C49" s="13"/>
      <c r="D49" s="14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2"/>
      <c r="C50" s="13"/>
      <c r="D50" s="14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2"/>
      <c r="C51" s="13"/>
      <c r="D51" s="14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2"/>
      <c r="C52" s="13"/>
      <c r="D52" s="14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2"/>
      <c r="C53" s="13"/>
      <c r="D53" s="14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2"/>
      <c r="C54" s="13"/>
      <c r="D54" s="14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2"/>
      <c r="C55" s="13"/>
      <c r="D55" s="14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2"/>
      <c r="C56" s="13"/>
      <c r="D56" s="14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2"/>
      <c r="C57" s="13"/>
      <c r="D57" s="14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2"/>
      <c r="C58" s="13"/>
      <c r="D58" s="14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2"/>
      <c r="C59" s="13"/>
      <c r="D59" s="14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2"/>
      <c r="C60" s="13"/>
      <c r="D60" s="14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2"/>
      <c r="C61" s="13"/>
      <c r="D61" s="14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2"/>
      <c r="C62" s="13"/>
      <c r="D62" s="14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2"/>
      <c r="C63" s="13"/>
      <c r="D63" s="14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2"/>
      <c r="C64" s="13"/>
      <c r="D64" s="14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2"/>
      <c r="C65" s="13"/>
      <c r="D65" s="14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2"/>
      <c r="C66" s="13"/>
      <c r="D66" s="14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2"/>
      <c r="C67" s="13"/>
      <c r="D67" s="14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2"/>
      <c r="C68" s="13"/>
      <c r="D68" s="14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2"/>
      <c r="C69" s="13"/>
      <c r="D69" s="14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2"/>
      <c r="C70" s="13"/>
      <c r="D70" s="14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2"/>
      <c r="C71" s="13"/>
      <c r="D71" s="14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2"/>
      <c r="C72" s="13"/>
      <c r="D72" s="14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2"/>
      <c r="C73" s="13"/>
      <c r="D73" s="14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2"/>
      <c r="C74" s="13"/>
      <c r="D74" s="14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2"/>
      <c r="C75" s="13"/>
      <c r="D75" s="14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2"/>
      <c r="C76" s="13"/>
      <c r="D76" s="14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2"/>
      <c r="C77" s="13"/>
      <c r="D77" s="14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2"/>
      <c r="C78" s="13"/>
      <c r="D78" s="14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2"/>
      <c r="C79" s="13"/>
      <c r="D79" s="14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2"/>
      <c r="C80" s="13"/>
      <c r="D80" s="14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2"/>
      <c r="C81" s="13"/>
      <c r="D81" s="14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2"/>
      <c r="C82" s="13"/>
      <c r="D82" s="14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2"/>
      <c r="C83" s="13"/>
      <c r="D83" s="14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2"/>
      <c r="C84" s="13"/>
      <c r="D84" s="14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2"/>
      <c r="C85" s="13"/>
      <c r="D85" s="14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2"/>
      <c r="C86" s="13"/>
      <c r="D86" s="14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2"/>
      <c r="C87" s="13"/>
      <c r="D87" s="14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2"/>
      <c r="C88" s="13"/>
      <c r="D88" s="14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2"/>
      <c r="C89" s="13"/>
      <c r="D89" s="14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2"/>
      <c r="C90" s="13"/>
      <c r="D90" s="14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27"/>
      <c r="B91" s="31"/>
      <c r="C91" s="32"/>
      <c r="D91" s="33"/>
      <c r="E91" s="3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27"/>
      <c r="B92" s="27"/>
      <c r="C92" s="35"/>
      <c r="D92" s="34"/>
      <c r="E92" s="3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27"/>
      <c r="B93" s="27"/>
      <c r="C93" s="35"/>
      <c r="D93" s="34"/>
      <c r="E93" s="3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27"/>
      <c r="B94" s="27"/>
      <c r="C94" s="35"/>
      <c r="D94" s="34"/>
      <c r="E94" s="3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2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2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2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2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2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2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2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2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2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2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2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2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2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2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2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2"/>
      <c r="D110" s="3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2"/>
      <c r="D111" s="3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2"/>
      <c r="D112" s="3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2"/>
      <c r="D113" s="3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2"/>
      <c r="D114" s="3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2"/>
      <c r="D115" s="3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2"/>
      <c r="D116" s="3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2"/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2"/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2"/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2"/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2"/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2"/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2"/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2"/>
      <c r="D124" s="3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2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2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2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2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2"/>
      <c r="D129" s="3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2"/>
      <c r="D130" s="3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2"/>
      <c r="D131" s="3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2"/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2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2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2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2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2"/>
      <c r="D137" s="3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2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2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2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2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2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2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2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2"/>
      <c r="D145" s="3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2"/>
      <c r="D146" s="3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2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2"/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2"/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2"/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2"/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2"/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2"/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2"/>
      <c r="D154" s="3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2"/>
      <c r="D155" s="3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2"/>
      <c r="D156" s="3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2"/>
      <c r="D157" s="3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2"/>
      <c r="D158" s="3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2"/>
      <c r="D159" s="3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2"/>
      <c r="D160" s="3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2"/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2"/>
      <c r="D162" s="3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2"/>
      <c r="D163" s="3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2"/>
      <c r="D164" s="3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2"/>
      <c r="D165" s="3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2"/>
      <c r="D166" s="3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2"/>
      <c r="D167" s="3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2"/>
      <c r="D168" s="3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2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2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2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2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2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2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2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2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2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2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2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2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2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2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2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2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2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2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2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2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2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2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2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2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2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2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2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2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2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2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2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2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2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2"/>
      <c r="D202" s="3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2"/>
      <c r="D203" s="3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2"/>
      <c r="D204" s="3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2"/>
      <c r="D205" s="3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2"/>
      <c r="D206" s="3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2"/>
      <c r="D207" s="3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2"/>
      <c r="D208" s="3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2"/>
      <c r="D209" s="3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2"/>
      <c r="D210" s="3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2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2"/>
      <c r="D212" s="3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2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2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2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2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2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2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2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2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2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2"/>
      <c r="D222" s="3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2"/>
      <c r="D223" s="3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2"/>
      <c r="D224" s="3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2"/>
      <c r="D225" s="3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2"/>
      <c r="D226" s="3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2"/>
      <c r="D227" s="3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2"/>
      <c r="D228" s="3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2"/>
      <c r="D229" s="3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2"/>
      <c r="D230" s="3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2"/>
      <c r="D231" s="3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2"/>
      <c r="D232" s="3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2"/>
      <c r="D233" s="3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2"/>
      <c r="D234" s="3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2"/>
      <c r="D235" s="3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2"/>
      <c r="D236" s="3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2"/>
      <c r="D237" s="3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2"/>
      <c r="D238" s="3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2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2"/>
      <c r="D240" s="3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2"/>
      <c r="D241" s="3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2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2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2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2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2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2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2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2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2"/>
      <c r="D250" s="3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2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2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2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2"/>
      <c r="D254" s="3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2"/>
      <c r="D255" s="3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2"/>
      <c r="D256" s="3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2"/>
      <c r="D257" s="3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2"/>
      <c r="D258" s="3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2"/>
      <c r="D259" s="3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2"/>
      <c r="D260" s="3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2"/>
      <c r="D261" s="3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2"/>
      <c r="D262" s="3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2"/>
      <c r="D263" s="3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2"/>
      <c r="D264" s="3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2"/>
      <c r="D265" s="3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2"/>
      <c r="D266" s="3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2"/>
      <c r="D267" s="3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2"/>
      <c r="D268" s="3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2"/>
      <c r="D269" s="3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2"/>
      <c r="D270" s="3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2"/>
      <c r="D271" s="3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2"/>
      <c r="D272" s="3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2"/>
      <c r="D273" s="3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2"/>
      <c r="D274" s="3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2"/>
      <c r="D275" s="3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2"/>
      <c r="D276" s="3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2"/>
      <c r="D277" s="3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2"/>
      <c r="D278" s="3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2"/>
      <c r="D279" s="3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2"/>
      <c r="D280" s="3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2"/>
      <c r="D281" s="3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2"/>
      <c r="D282" s="3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2"/>
      <c r="D283" s="3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2"/>
      <c r="D284" s="3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2"/>
      <c r="D285" s="3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2"/>
      <c r="D286" s="3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2"/>
      <c r="D287" s="3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2"/>
      <c r="D288" s="3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2"/>
      <c r="D289" s="3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2"/>
      <c r="D290" s="3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2"/>
      <c r="D291" s="3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2"/>
      <c r="D292" s="3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2"/>
      <c r="D293" s="3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2"/>
      <c r="D294" s="3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2"/>
      <c r="D295" s="3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2"/>
      <c r="D296" s="3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2"/>
      <c r="D297" s="3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2"/>
      <c r="D298" s="3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2"/>
      <c r="D299" s="3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2"/>
      <c r="D300" s="3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2"/>
      <c r="D301" s="3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2"/>
      <c r="D302" s="3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2"/>
      <c r="D303" s="3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2"/>
      <c r="D304" s="3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2"/>
      <c r="D305" s="3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2"/>
      <c r="D306" s="3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2"/>
      <c r="D307" s="3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2"/>
      <c r="D308" s="3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2"/>
      <c r="D309" s="3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2"/>
      <c r="D310" s="3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2"/>
      <c r="D311" s="3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2"/>
      <c r="D312" s="3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2"/>
      <c r="D313" s="3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2"/>
      <c r="D314" s="3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2"/>
      <c r="D315" s="3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2"/>
      <c r="D316" s="3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2"/>
      <c r="D317" s="3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2"/>
      <c r="D318" s="3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2"/>
      <c r="D319" s="3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2"/>
      <c r="D320" s="3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2"/>
      <c r="D321" s="3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2"/>
      <c r="D322" s="3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2"/>
      <c r="D323" s="3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2"/>
      <c r="D324" s="3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2"/>
      <c r="D325" s="3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2"/>
      <c r="D326" s="3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2"/>
      <c r="D327" s="3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2"/>
      <c r="D328" s="3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2"/>
      <c r="D329" s="3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2"/>
      <c r="D330" s="3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2"/>
      <c r="D331" s="3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2"/>
      <c r="D332" s="3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2"/>
      <c r="D333" s="3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2"/>
      <c r="D334" s="3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2"/>
      <c r="D335" s="3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2"/>
      <c r="D336" s="3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2"/>
      <c r="D337" s="3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2"/>
      <c r="D338" s="3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2"/>
      <c r="D339" s="3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2"/>
      <c r="D340" s="3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2"/>
      <c r="D341" s="3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2"/>
      <c r="D342" s="3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2"/>
      <c r="D343" s="3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2"/>
      <c r="D344" s="3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2"/>
      <c r="D345" s="3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2"/>
      <c r="D346" s="3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2"/>
      <c r="D347" s="3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2"/>
      <c r="D348" s="3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2"/>
      <c r="D349" s="3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2"/>
      <c r="D350" s="3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2"/>
      <c r="D351" s="3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2"/>
      <c r="D352" s="3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2"/>
      <c r="D353" s="3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2"/>
      <c r="D354" s="3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2"/>
      <c r="D355" s="3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2"/>
      <c r="D356" s="3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2"/>
      <c r="D357" s="3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2"/>
      <c r="D358" s="3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2"/>
      <c r="D359" s="3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2"/>
      <c r="D360" s="3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2"/>
      <c r="D361" s="3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2"/>
      <c r="D362" s="3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2"/>
      <c r="D363" s="3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2"/>
      <c r="D364" s="3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2"/>
      <c r="D365" s="3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2"/>
      <c r="D366" s="3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2"/>
      <c r="D367" s="3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2"/>
      <c r="D368" s="3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2"/>
      <c r="D369" s="3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2"/>
      <c r="D370" s="3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2"/>
      <c r="D371" s="3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2"/>
      <c r="D372" s="3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2"/>
      <c r="D373" s="3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2"/>
      <c r="D374" s="3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2"/>
      <c r="D375" s="3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2"/>
      <c r="D376" s="3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2"/>
      <c r="D377" s="3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2"/>
      <c r="D378" s="3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2"/>
      <c r="D379" s="3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2"/>
      <c r="D380" s="3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2"/>
      <c r="D381" s="3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2"/>
      <c r="D382" s="3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2"/>
      <c r="D383" s="3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2"/>
      <c r="D384" s="3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2"/>
      <c r="D385" s="3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2"/>
      <c r="D386" s="3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2"/>
      <c r="D387" s="3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2"/>
      <c r="D388" s="3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2"/>
      <c r="D389" s="3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2"/>
      <c r="D390" s="3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2"/>
      <c r="D391" s="3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2"/>
      <c r="D392" s="3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2"/>
      <c r="D393" s="3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2"/>
      <c r="D394" s="3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2"/>
      <c r="D395" s="3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2"/>
      <c r="D396" s="3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2"/>
      <c r="D397" s="3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2"/>
      <c r="D398" s="3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2"/>
      <c r="D399" s="3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2"/>
      <c r="D400" s="3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2"/>
      <c r="D401" s="3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2"/>
      <c r="D402" s="3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2"/>
      <c r="D403" s="3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2"/>
      <c r="D404" s="3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2"/>
      <c r="D405" s="3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2"/>
      <c r="D406" s="3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2"/>
      <c r="D407" s="3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2"/>
      <c r="D408" s="3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2"/>
      <c r="D409" s="3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2"/>
      <c r="D410" s="3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2"/>
      <c r="D411" s="3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2"/>
      <c r="D412" s="3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2"/>
      <c r="D413" s="3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2"/>
      <c r="D414" s="3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2"/>
      <c r="D415" s="3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2"/>
      <c r="D416" s="3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2"/>
      <c r="D417" s="3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2"/>
      <c r="D418" s="3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2"/>
      <c r="D419" s="3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2"/>
      <c r="D420" s="3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2"/>
      <c r="D421" s="3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2"/>
      <c r="D422" s="3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2"/>
      <c r="D423" s="3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2"/>
      <c r="D424" s="3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2"/>
      <c r="D425" s="3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2"/>
      <c r="D426" s="3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2"/>
      <c r="D427" s="3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2"/>
      <c r="D428" s="3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2"/>
      <c r="D429" s="3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2"/>
      <c r="D430" s="3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2"/>
      <c r="D431" s="3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2"/>
      <c r="D432" s="3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2"/>
      <c r="D433" s="3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2"/>
      <c r="D434" s="3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2"/>
      <c r="D435" s="3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2"/>
      <c r="D436" s="3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2"/>
      <c r="D437" s="3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2"/>
      <c r="D438" s="3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2"/>
      <c r="D439" s="3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2"/>
      <c r="D440" s="3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2"/>
      <c r="D441" s="3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2"/>
      <c r="D442" s="3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2"/>
      <c r="D443" s="3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2"/>
      <c r="D444" s="3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2"/>
      <c r="D445" s="3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2"/>
      <c r="D446" s="3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2"/>
      <c r="D447" s="3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2"/>
      <c r="D448" s="3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2"/>
      <c r="D449" s="3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2"/>
      <c r="D450" s="3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2"/>
      <c r="D451" s="3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2"/>
      <c r="D452" s="3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2"/>
      <c r="D453" s="3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2"/>
      <c r="D454" s="3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2"/>
      <c r="D455" s="3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2"/>
      <c r="D456" s="3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2"/>
      <c r="D457" s="3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2"/>
      <c r="D458" s="3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2"/>
      <c r="D459" s="3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2"/>
      <c r="D460" s="3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2"/>
      <c r="D461" s="3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2"/>
      <c r="D462" s="3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2"/>
      <c r="D463" s="3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2"/>
      <c r="D464" s="3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2"/>
      <c r="D465" s="3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2"/>
      <c r="D466" s="3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2"/>
      <c r="D467" s="3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2"/>
      <c r="D468" s="3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2"/>
      <c r="D469" s="3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2"/>
      <c r="D470" s="3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2"/>
      <c r="D471" s="3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2"/>
      <c r="D472" s="3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2"/>
      <c r="D473" s="3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2"/>
      <c r="D474" s="3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2"/>
      <c r="D475" s="3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2"/>
      <c r="D476" s="3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2"/>
      <c r="D477" s="3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2"/>
      <c r="D478" s="3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2"/>
      <c r="D479" s="3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2"/>
      <c r="D480" s="3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2"/>
      <c r="D481" s="3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2"/>
      <c r="D482" s="3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2"/>
      <c r="D483" s="3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2"/>
      <c r="D484" s="3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2"/>
      <c r="D485" s="3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2"/>
      <c r="D486" s="3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2"/>
      <c r="D487" s="3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2"/>
      <c r="D488" s="3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2"/>
      <c r="D489" s="3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2"/>
      <c r="D490" s="3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2"/>
      <c r="D491" s="3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2"/>
      <c r="D492" s="3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2"/>
      <c r="D493" s="3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2"/>
      <c r="D494" s="3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2"/>
      <c r="D495" s="3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2"/>
      <c r="D496" s="3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2"/>
      <c r="D497" s="3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2"/>
      <c r="D498" s="3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2"/>
      <c r="D499" s="3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2"/>
      <c r="D500" s="3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2"/>
      <c r="D501" s="3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2"/>
      <c r="D502" s="3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2"/>
      <c r="D503" s="3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2"/>
      <c r="D504" s="3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2"/>
      <c r="D505" s="3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2"/>
      <c r="D506" s="3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2"/>
      <c r="D507" s="3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2"/>
      <c r="D508" s="3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2"/>
      <c r="D509" s="3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2"/>
      <c r="D510" s="3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2"/>
      <c r="D511" s="3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2"/>
      <c r="D512" s="3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2"/>
      <c r="D513" s="3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2"/>
      <c r="D514" s="3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2"/>
      <c r="D515" s="3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2"/>
      <c r="D516" s="3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2"/>
      <c r="D517" s="3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2"/>
      <c r="D518" s="3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2"/>
      <c r="D519" s="3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2"/>
      <c r="D520" s="3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2"/>
      <c r="D521" s="3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2"/>
      <c r="D522" s="3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2"/>
      <c r="D523" s="3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2"/>
      <c r="D524" s="3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2"/>
      <c r="D525" s="3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2"/>
      <c r="D526" s="3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2"/>
      <c r="D527" s="3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2"/>
      <c r="D528" s="3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2"/>
      <c r="D529" s="3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2"/>
      <c r="D530" s="3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2"/>
      <c r="D531" s="3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2"/>
      <c r="D532" s="3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2"/>
      <c r="D533" s="3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2"/>
      <c r="D534" s="3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2"/>
      <c r="D535" s="3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2"/>
      <c r="D536" s="3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2"/>
      <c r="D537" s="3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2"/>
      <c r="D538" s="3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2"/>
      <c r="D539" s="3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2"/>
      <c r="D540" s="3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2"/>
      <c r="D541" s="3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2"/>
      <c r="D542" s="3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2"/>
      <c r="D543" s="3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2"/>
      <c r="D544" s="3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2"/>
      <c r="D545" s="3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2"/>
      <c r="D546" s="3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2"/>
      <c r="D547" s="3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2"/>
      <c r="D548" s="3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2"/>
      <c r="D549" s="3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2"/>
      <c r="D550" s="3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2"/>
      <c r="D551" s="3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2"/>
      <c r="D552" s="3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2"/>
      <c r="D553" s="3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2"/>
      <c r="D554" s="3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2"/>
      <c r="D555" s="3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2"/>
      <c r="D556" s="3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2"/>
      <c r="D557" s="3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2"/>
      <c r="D558" s="3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2"/>
      <c r="D559" s="3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2"/>
      <c r="D560" s="3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2"/>
      <c r="D561" s="3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2"/>
      <c r="D562" s="3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2"/>
      <c r="D563" s="3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2"/>
      <c r="D564" s="3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2"/>
      <c r="D565" s="3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2"/>
      <c r="D566" s="3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2"/>
      <c r="D567" s="3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2"/>
      <c r="D568" s="3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2"/>
      <c r="D569" s="3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2"/>
      <c r="D570" s="3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2"/>
      <c r="D571" s="3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2"/>
      <c r="D572" s="3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2"/>
      <c r="D573" s="3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2"/>
      <c r="D574" s="3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2"/>
      <c r="D575" s="3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2"/>
      <c r="D576" s="3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2"/>
      <c r="D577" s="3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2"/>
      <c r="D578" s="3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2"/>
      <c r="D579" s="3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2"/>
      <c r="D580" s="3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2"/>
      <c r="D581" s="3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2"/>
      <c r="D582" s="3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2"/>
      <c r="D583" s="3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2"/>
      <c r="D584" s="3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2"/>
      <c r="D585" s="3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2"/>
      <c r="D586" s="3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2"/>
      <c r="D587" s="3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2"/>
      <c r="D588" s="3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2"/>
      <c r="D589" s="3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2"/>
      <c r="D590" s="3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2"/>
      <c r="D591" s="3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2"/>
      <c r="D592" s="3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2"/>
      <c r="D593" s="3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2"/>
      <c r="D594" s="3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2"/>
      <c r="D595" s="3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2"/>
      <c r="D596" s="3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2"/>
      <c r="D597" s="3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2"/>
      <c r="D598" s="3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2"/>
      <c r="D599" s="3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2"/>
      <c r="D600" s="3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2"/>
      <c r="D601" s="3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2"/>
      <c r="D602" s="3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2"/>
      <c r="D603" s="3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2"/>
      <c r="D604" s="3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2"/>
      <c r="D605" s="3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2"/>
      <c r="D606" s="3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2"/>
      <c r="D607" s="3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2"/>
      <c r="D608" s="3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2"/>
      <c r="D609" s="3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2"/>
      <c r="D610" s="3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2"/>
      <c r="D611" s="3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2"/>
      <c r="D612" s="3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2"/>
      <c r="D613" s="3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2"/>
      <c r="D614" s="3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2"/>
      <c r="D615" s="3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2"/>
      <c r="D616" s="3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2"/>
      <c r="D617" s="3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2"/>
      <c r="D618" s="3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2"/>
      <c r="D619" s="3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2"/>
      <c r="D620" s="3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2"/>
      <c r="D621" s="3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2"/>
      <c r="D622" s="3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2"/>
      <c r="D623" s="3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2"/>
      <c r="D624" s="3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2"/>
      <c r="D625" s="3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2"/>
      <c r="D626" s="3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2"/>
      <c r="D627" s="3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2"/>
      <c r="D628" s="3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2"/>
      <c r="D629" s="3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2"/>
      <c r="D630" s="3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2"/>
      <c r="D631" s="3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2"/>
      <c r="D632" s="3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2"/>
      <c r="D633" s="3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2"/>
      <c r="D634" s="3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2"/>
      <c r="D635" s="3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2"/>
      <c r="D636" s="3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2"/>
      <c r="D637" s="3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2"/>
      <c r="D638" s="3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2"/>
      <c r="D639" s="3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2"/>
      <c r="D640" s="3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2"/>
      <c r="D641" s="3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2"/>
      <c r="D642" s="3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2"/>
      <c r="D643" s="3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2"/>
      <c r="D644" s="3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2"/>
      <c r="D645" s="3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2"/>
      <c r="D646" s="3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2"/>
      <c r="D647" s="3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2"/>
      <c r="D648" s="3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2"/>
      <c r="D649" s="3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2"/>
      <c r="D650" s="3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2"/>
      <c r="D651" s="3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2"/>
      <c r="D652" s="3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2"/>
      <c r="D653" s="3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2"/>
      <c r="D654" s="3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2"/>
      <c r="D655" s="3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2"/>
      <c r="D656" s="3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2"/>
      <c r="D657" s="3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2"/>
      <c r="D658" s="3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2"/>
      <c r="D659" s="3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2"/>
      <c r="D660" s="3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2"/>
      <c r="D661" s="3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2"/>
      <c r="D662" s="3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2"/>
      <c r="D663" s="3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2"/>
      <c r="D664" s="3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2"/>
      <c r="D665" s="3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2"/>
      <c r="D666" s="3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2"/>
      <c r="D667" s="3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2"/>
      <c r="D668" s="3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2"/>
      <c r="D669" s="3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2"/>
      <c r="D670" s="3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2"/>
      <c r="D671" s="3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2"/>
      <c r="D672" s="3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2"/>
      <c r="D673" s="3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2"/>
      <c r="D674" s="3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2"/>
      <c r="D675" s="3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2"/>
      <c r="D676" s="3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2"/>
      <c r="D677" s="3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2"/>
      <c r="D678" s="3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2"/>
      <c r="D679" s="3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2"/>
      <c r="D680" s="3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2"/>
      <c r="D681" s="3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2"/>
      <c r="D682" s="3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2"/>
      <c r="D683" s="3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2"/>
      <c r="D684" s="3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2"/>
      <c r="D685" s="3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2"/>
      <c r="D686" s="3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2"/>
      <c r="D687" s="3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2"/>
      <c r="D688" s="3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2"/>
      <c r="D689" s="3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2"/>
      <c r="D690" s="3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2"/>
      <c r="D691" s="3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2"/>
      <c r="D692" s="3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2"/>
      <c r="D693" s="3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2"/>
      <c r="D694" s="3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2"/>
      <c r="D695" s="3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2"/>
      <c r="D696" s="3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2"/>
      <c r="D697" s="3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2"/>
      <c r="D698" s="3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2"/>
      <c r="D699" s="3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2"/>
      <c r="D700" s="3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2"/>
      <c r="D701" s="3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2"/>
      <c r="D702" s="3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2"/>
      <c r="D703" s="3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2"/>
      <c r="D704" s="3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2"/>
      <c r="D705" s="3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2"/>
      <c r="D706" s="3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2"/>
      <c r="D707" s="3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2"/>
      <c r="D708" s="3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2"/>
      <c r="D709" s="3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2"/>
      <c r="D710" s="3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2"/>
      <c r="D711" s="3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2"/>
      <c r="D712" s="3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2"/>
      <c r="D713" s="3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2"/>
      <c r="D714" s="3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2"/>
      <c r="D715" s="3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2"/>
      <c r="D716" s="3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2"/>
      <c r="D717" s="3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2"/>
      <c r="D718" s="3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2"/>
      <c r="D719" s="3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2"/>
      <c r="D720" s="3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2"/>
      <c r="D721" s="3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2"/>
      <c r="D722" s="3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2"/>
      <c r="D723" s="3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2"/>
      <c r="D724" s="3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2"/>
      <c r="D725" s="3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2"/>
      <c r="D726" s="3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2"/>
      <c r="D727" s="3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2"/>
      <c r="D728" s="3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2"/>
      <c r="D729" s="3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2"/>
      <c r="D730" s="3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2"/>
      <c r="D731" s="3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2"/>
      <c r="D732" s="3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</sheetData>
  <mergeCells count="5">
    <mergeCell ref="B1:D1"/>
    <mergeCell ref="B3:D3"/>
    <mergeCell ref="N18:S18"/>
    <mergeCell ref="N5:S5"/>
    <mergeCell ref="N7:S7"/>
  </mergeCells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1E3F6E50C4AC428B2149EB26950748" ma:contentTypeVersion="19" ma:contentTypeDescription="Create a new document." ma:contentTypeScope="" ma:versionID="1da63722bb075b41fb795c7b65472198">
  <xsd:schema xmlns:xsd="http://www.w3.org/2001/XMLSchema" xmlns:xs="http://www.w3.org/2001/XMLSchema" xmlns:p="http://schemas.microsoft.com/office/2006/metadata/properties" xmlns:ns3="b03d5476-e3b6-4350-8977-e3faba2d8780" xmlns:ns4="ba047915-c42a-4406-8628-3efbc1f729b0" targetNamespace="http://schemas.microsoft.com/office/2006/metadata/properties" ma:root="true" ma:fieldsID="ed5ed7132fe616401efc8998601d99af" ns3:_="" ns4:_="">
    <xsd:import namespace="b03d5476-e3b6-4350-8977-e3faba2d8780"/>
    <xsd:import namespace="ba047915-c42a-4406-8628-3efbc1f729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d5476-e3b6-4350-8977-e3faba2d87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7915-c42a-4406-8628-3efbc1f729b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3d5476-e3b6-4350-8977-e3faba2d8780" xsi:nil="true"/>
  </documentManagement>
</p:properties>
</file>

<file path=customXml/itemProps1.xml><?xml version="1.0" encoding="utf-8"?>
<ds:datastoreItem xmlns:ds="http://schemas.openxmlformats.org/officeDocument/2006/customXml" ds:itemID="{3BD16D02-3393-4092-A087-238CC6856663}"/>
</file>

<file path=customXml/itemProps2.xml><?xml version="1.0" encoding="utf-8"?>
<ds:datastoreItem xmlns:ds="http://schemas.openxmlformats.org/officeDocument/2006/customXml" ds:itemID="{BF85C1AB-D51D-4991-BD38-6D415607F038}"/>
</file>

<file path=customXml/itemProps3.xml><?xml version="1.0" encoding="utf-8"?>
<ds:datastoreItem xmlns:ds="http://schemas.openxmlformats.org/officeDocument/2006/customXml" ds:itemID="{BA1E8C7B-E0D5-46DB-B208-FE86B6474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ccwiek</dc:creator>
  <cp:keywords/>
  <dc:description/>
  <cp:lastModifiedBy/>
  <cp:revision/>
  <dcterms:created xsi:type="dcterms:W3CDTF">2014-08-20T17:49:07Z</dcterms:created>
  <dcterms:modified xsi:type="dcterms:W3CDTF">2026-01-20T19:46:49Z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0x010100471E3F6E50C4AC428B2149EB26950748</vt:lpwstr>
  </property>
</Properties>
</file>